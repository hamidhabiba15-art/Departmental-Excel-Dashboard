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ndy\Documents\DATA ANALYSIS 2026\DATA ANALYSIS PROJECTS\"/>
    </mc:Choice>
  </mc:AlternateContent>
  <bookViews>
    <workbookView xWindow="0" yWindow="0" windowWidth="9480" windowHeight="6645"/>
  </bookViews>
  <sheets>
    <sheet name="Original Data" sheetId="1" r:id="rId1"/>
    <sheet name="Expense Dashboard" sheetId="2" r:id="rId2"/>
    <sheet name="Summary Table" sheetId="3" r:id="rId3"/>
  </sheets>
  <definedNames>
    <definedName name="_xlnm._FilterDatabase" localSheetId="0" hidden="1">'Original Data'!$A$1:$F$14</definedName>
    <definedName name="_xlnm._FilterDatabase" localSheetId="2" hidden="1">'Summary Table'!$A$1:$D$9</definedName>
    <definedName name="_xlchart.0" hidden="1">'Original Data'!$B$2:$B$10</definedName>
    <definedName name="_xlchart.1" hidden="1">'Original Data'!$C$1</definedName>
    <definedName name="_xlchart.2" hidden="1">'Original Data'!$C$2:$C$10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F7" i="1"/>
  <c r="E10" i="1"/>
  <c r="F10" i="1"/>
  <c r="E2" i="1"/>
  <c r="F2" i="1"/>
  <c r="E9" i="1"/>
  <c r="F9" i="1"/>
  <c r="F3" i="1"/>
  <c r="F4" i="1"/>
  <c r="F13" i="1"/>
  <c r="F5" i="1"/>
  <c r="F8" i="1"/>
  <c r="F6" i="1"/>
  <c r="F14" i="1"/>
  <c r="F11" i="1"/>
  <c r="F12" i="1"/>
  <c r="E3" i="1" l="1"/>
  <c r="E4" i="1"/>
  <c r="E13" i="1"/>
  <c r="E5" i="1"/>
  <c r="E8" i="1"/>
  <c r="E6" i="1"/>
  <c r="E14" i="1"/>
  <c r="E11" i="1"/>
  <c r="E12" i="1"/>
</calcChain>
</file>

<file path=xl/sharedStrings.xml><?xml version="1.0" encoding="utf-8"?>
<sst xmlns="http://schemas.openxmlformats.org/spreadsheetml/2006/main" count="69" uniqueCount="41">
  <si>
    <t>Department</t>
  </si>
  <si>
    <t>Category</t>
  </si>
  <si>
    <t>Expense ($)</t>
  </si>
  <si>
    <t>Budget ($)</t>
  </si>
  <si>
    <t>Budget Status</t>
  </si>
  <si>
    <t>Marketing</t>
  </si>
  <si>
    <t>HR</t>
  </si>
  <si>
    <t>IT</t>
  </si>
  <si>
    <t>Operations</t>
  </si>
  <si>
    <t>Finance</t>
  </si>
  <si>
    <t>Sales</t>
  </si>
  <si>
    <t>Customer 
Success</t>
  </si>
  <si>
    <t>Legal</t>
  </si>
  <si>
    <t>Facilities</t>
  </si>
  <si>
    <t>Ads</t>
  </si>
  <si>
    <t>Training</t>
  </si>
  <si>
    <t>Software</t>
  </si>
  <si>
    <t>Equipment</t>
  </si>
  <si>
    <t>Payroll</t>
  </si>
  <si>
    <t>Travel</t>
  </si>
  <si>
    <t>Subscriptions</t>
  </si>
  <si>
    <t>Consultation</t>
  </si>
  <si>
    <t>Maintenance</t>
  </si>
  <si>
    <t>Difference($)</t>
  </si>
  <si>
    <t>Supplies</t>
  </si>
  <si>
    <t xml:space="preserve">HR </t>
  </si>
  <si>
    <t>Sofware</t>
  </si>
  <si>
    <t>Expense Dashboard</t>
  </si>
  <si>
    <t>Overspent ?</t>
  </si>
  <si>
    <t>Action 
Needed?</t>
  </si>
  <si>
    <t>Finace</t>
  </si>
  <si>
    <t>Yes</t>
  </si>
  <si>
    <t>NO</t>
  </si>
  <si>
    <t>Partial</t>
  </si>
  <si>
    <t>High</t>
  </si>
  <si>
    <t>Medium</t>
  </si>
  <si>
    <t>Light 
Monitoring</t>
  </si>
  <si>
    <t>None</t>
  </si>
  <si>
    <t>Priority</t>
  </si>
  <si>
    <t>Yes (Review)</t>
  </si>
  <si>
    <t xml:space="preserve">Yes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</si>
</sst>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7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departments are over budget?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'Original Data'!$C$1</c:f>
              <c:strCache>
                <c:ptCount val="1"/>
                <c:pt idx="0">
                  <c:v>Expense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'Original Data'!$A$2:$A$10</c:f>
              <c:strCache>
                <c:ptCount val="9"/>
                <c:pt idx="0">
                  <c:v>Marketing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Customer 
Success</c:v>
                </c:pt>
                <c:pt idx="5">
                  <c:v>HR </c:v>
                </c:pt>
                <c:pt idx="6">
                  <c:v>Sales</c:v>
                </c:pt>
                <c:pt idx="7">
                  <c:v>Sales</c:v>
                </c:pt>
                <c:pt idx="8">
                  <c:v>Finance</c:v>
                </c:pt>
              </c:strCache>
            </c:strRef>
          </c:cat>
          <c:val>
            <c:numRef>
              <c:f>'Original Data'!$C$2:$C$10</c:f>
              <c:numCache>
                <c:formatCode>General</c:formatCode>
                <c:ptCount val="9"/>
                <c:pt idx="0">
                  <c:v>1300</c:v>
                </c:pt>
                <c:pt idx="1">
                  <c:v>1500</c:v>
                </c:pt>
                <c:pt idx="2">
                  <c:v>3000</c:v>
                </c:pt>
                <c:pt idx="3">
                  <c:v>7000</c:v>
                </c:pt>
                <c:pt idx="4">
                  <c:v>1800</c:v>
                </c:pt>
                <c:pt idx="5">
                  <c:v>3100</c:v>
                </c:pt>
                <c:pt idx="6">
                  <c:v>2200</c:v>
                </c:pt>
                <c:pt idx="7">
                  <c:v>1700</c:v>
                </c:pt>
                <c:pt idx="8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D-4C18-805B-70CD27655730}"/>
            </c:ext>
          </c:extLst>
        </c:ser>
        <c:ser>
          <c:idx val="1"/>
          <c:order val="1"/>
          <c:tx>
            <c:strRef>
              <c:f>'Original Data'!$D$1</c:f>
              <c:strCache>
                <c:ptCount val="1"/>
                <c:pt idx="0">
                  <c:v>Budget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'Original Data'!$A$2:$A$10</c:f>
              <c:strCache>
                <c:ptCount val="9"/>
                <c:pt idx="0">
                  <c:v>Marketing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Customer 
Success</c:v>
                </c:pt>
                <c:pt idx="5">
                  <c:v>HR </c:v>
                </c:pt>
                <c:pt idx="6">
                  <c:v>Sales</c:v>
                </c:pt>
                <c:pt idx="7">
                  <c:v>Sales</c:v>
                </c:pt>
                <c:pt idx="8">
                  <c:v>Finance</c:v>
                </c:pt>
              </c:strCache>
            </c:strRef>
          </c:cat>
          <c:val>
            <c:numRef>
              <c:f>'Original Data'!$D$2:$D$10</c:f>
              <c:numCache>
                <c:formatCode>General</c:formatCode>
                <c:ptCount val="9"/>
                <c:pt idx="0">
                  <c:v>2000</c:v>
                </c:pt>
                <c:pt idx="1">
                  <c:v>2000</c:v>
                </c:pt>
                <c:pt idx="2">
                  <c:v>3000</c:v>
                </c:pt>
                <c:pt idx="3">
                  <c:v>7000</c:v>
                </c:pt>
                <c:pt idx="4">
                  <c:v>1800</c:v>
                </c:pt>
                <c:pt idx="5">
                  <c:v>3000</c:v>
                </c:pt>
                <c:pt idx="6">
                  <c:v>2000</c:v>
                </c:pt>
                <c:pt idx="7">
                  <c:v>1500</c:v>
                </c:pt>
                <c:pt idx="8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DD-4C18-805B-70CD27655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19744"/>
        <c:axId val="1574622240"/>
      </c:barChart>
      <c:catAx>
        <c:axId val="1574619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622240"/>
        <c:crosses val="autoZero"/>
        <c:auto val="1"/>
        <c:lblAlgn val="ctr"/>
        <c:lblOffset val="100"/>
        <c:noMultiLvlLbl val="0"/>
      </c:catAx>
      <c:valAx>
        <c:axId val="157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61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size">
        <cx:f>_xlchart.2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Where is our budget going?</a:t>
            </a:r>
          </a:p>
        </cx:rich>
      </cx:tx>
    </cx:title>
    <cx:plotArea>
      <cx:plotAreaRegion>
        <cx:series layoutId="treemap" uniqueId="{A8BFFD01-B7FC-4FA0-B4C9-9F1CC148298B}">
          <cx:tx>
            <cx:txData>
              <cx:f>_xlchart.1</cx:f>
              <cx:v>Expense ($)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</a:t>
            </a:r>
            <a:r>
              <a:rPr lang="en-US" baseline="0"/>
              <a:t> much has each department gone over budget</a:t>
            </a:r>
            <a:r>
              <a:rPr lang="en-US"/>
              <a:t>($)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'Original Data'!$F$1</c:f>
              <c:strCache>
                <c:ptCount val="1"/>
                <c:pt idx="0">
                  <c:v>Difference($)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'Original Data'!$A$2:$A$14</c:f>
              <c:strCache>
                <c:ptCount val="13"/>
                <c:pt idx="0">
                  <c:v>Marketing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Customer 
Success</c:v>
                </c:pt>
                <c:pt idx="5">
                  <c:v>HR </c:v>
                </c:pt>
                <c:pt idx="6">
                  <c:v>Sales</c:v>
                </c:pt>
                <c:pt idx="7">
                  <c:v>Sales</c:v>
                </c:pt>
                <c:pt idx="8">
                  <c:v>Finance</c:v>
                </c:pt>
                <c:pt idx="9">
                  <c:v>Facilities</c:v>
                </c:pt>
                <c:pt idx="10">
                  <c:v>Marketing</c:v>
                </c:pt>
                <c:pt idx="11">
                  <c:v>Operations</c:v>
                </c:pt>
                <c:pt idx="12">
                  <c:v>Legal</c:v>
                </c:pt>
              </c:strCache>
            </c:strRef>
          </c:cat>
          <c:val>
            <c:numRef>
              <c:f>'Original Data'!$F$2:$F$14</c:f>
              <c:numCache>
                <c:formatCode>General</c:formatCode>
                <c:ptCount val="13"/>
                <c:pt idx="0">
                  <c:v>-700</c:v>
                </c:pt>
                <c:pt idx="1">
                  <c:v>-500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300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D-450B-8BFC-9AB6CB453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0431200"/>
        <c:axId val="1460430784"/>
      </c:barChart>
      <c:catAx>
        <c:axId val="1460431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430784"/>
        <c:crosses val="autoZero"/>
        <c:auto val="1"/>
        <c:lblAlgn val="ctr"/>
        <c:lblOffset val="100"/>
        <c:noMultiLvlLbl val="0"/>
      </c:catAx>
      <c:valAx>
        <c:axId val="146043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43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9</xdr:col>
      <xdr:colOff>0</xdr:colOff>
      <xdr:row>16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17</xdr:row>
      <xdr:rowOff>47624</xdr:rowOff>
    </xdr:from>
    <xdr:to>
      <xdr:col>19</xdr:col>
      <xdr:colOff>19050</xdr:colOff>
      <xdr:row>33</xdr:row>
      <xdr:rowOff>190499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590549</xdr:colOff>
      <xdr:row>2</xdr:row>
      <xdr:rowOff>9525</xdr:rowOff>
    </xdr:from>
    <xdr:to>
      <xdr:col>19</xdr:col>
      <xdr:colOff>9524</xdr:colOff>
      <xdr:row>16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B19" sqref="B19"/>
    </sheetView>
  </sheetViews>
  <sheetFormatPr defaultRowHeight="15" x14ac:dyDescent="0.25"/>
  <cols>
    <col min="1" max="1" width="11.7109375" bestFit="1" customWidth="1"/>
    <col min="2" max="2" width="12.85546875" bestFit="1" customWidth="1"/>
    <col min="3" max="3" width="11.28515625" bestFit="1" customWidth="1"/>
    <col min="4" max="4" width="10.140625" bestFit="1" customWidth="1"/>
    <col min="5" max="5" width="15.140625" customWidth="1"/>
    <col min="6" max="6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</row>
    <row r="2" spans="1:6" x14ac:dyDescent="0.25">
      <c r="A2" t="s">
        <v>5</v>
      </c>
      <c r="B2" t="s">
        <v>17</v>
      </c>
      <c r="C2">
        <v>1300</v>
      </c>
      <c r="D2">
        <v>2000</v>
      </c>
      <c r="E2" s="1" t="str">
        <f t="shared" ref="E2:E14" si="0">IF(C2&gt;D2,
"Exceeds Budget",
"On Track")</f>
        <v>On Track</v>
      </c>
      <c r="F2">
        <f t="shared" ref="F2:F14" si="1">C2-D2</f>
        <v>-700</v>
      </c>
    </row>
    <row r="3" spans="1:6" x14ac:dyDescent="0.25">
      <c r="A3" t="s">
        <v>6</v>
      </c>
      <c r="B3" t="s">
        <v>15</v>
      </c>
      <c r="C3">
        <v>1500</v>
      </c>
      <c r="D3">
        <v>2000</v>
      </c>
      <c r="E3" s="1" t="str">
        <f t="shared" si="0"/>
        <v>On Track</v>
      </c>
      <c r="F3">
        <f t="shared" si="1"/>
        <v>-500</v>
      </c>
    </row>
    <row r="4" spans="1:6" x14ac:dyDescent="0.25">
      <c r="A4" t="s">
        <v>7</v>
      </c>
      <c r="B4" t="s">
        <v>16</v>
      </c>
      <c r="C4">
        <v>3000</v>
      </c>
      <c r="D4">
        <v>3000</v>
      </c>
      <c r="E4" s="1" t="str">
        <f t="shared" si="0"/>
        <v>On Track</v>
      </c>
      <c r="F4">
        <f t="shared" si="1"/>
        <v>0</v>
      </c>
    </row>
    <row r="5" spans="1:6" x14ac:dyDescent="0.25">
      <c r="A5" t="s">
        <v>9</v>
      </c>
      <c r="B5" t="s">
        <v>18</v>
      </c>
      <c r="C5">
        <v>7000</v>
      </c>
      <c r="D5">
        <v>7000</v>
      </c>
      <c r="E5" s="1" t="str">
        <f t="shared" si="0"/>
        <v>On Track</v>
      </c>
      <c r="F5">
        <f t="shared" si="1"/>
        <v>0</v>
      </c>
    </row>
    <row r="6" spans="1:6" x14ac:dyDescent="0.25">
      <c r="A6" s="2" t="s">
        <v>11</v>
      </c>
      <c r="B6" t="s">
        <v>20</v>
      </c>
      <c r="C6">
        <v>1800</v>
      </c>
      <c r="D6">
        <v>1800</v>
      </c>
      <c r="E6" s="1" t="str">
        <f t="shared" si="0"/>
        <v>On Track</v>
      </c>
      <c r="F6">
        <f t="shared" si="1"/>
        <v>0</v>
      </c>
    </row>
    <row r="7" spans="1:6" x14ac:dyDescent="0.25">
      <c r="A7" t="s">
        <v>25</v>
      </c>
      <c r="B7" t="s">
        <v>26</v>
      </c>
      <c r="C7">
        <v>3100</v>
      </c>
      <c r="D7">
        <v>3000</v>
      </c>
      <c r="E7" s="1" t="str">
        <f t="shared" si="0"/>
        <v>Exceeds Budget</v>
      </c>
      <c r="F7">
        <f t="shared" si="1"/>
        <v>100</v>
      </c>
    </row>
    <row r="8" spans="1:6" ht="30" x14ac:dyDescent="0.25">
      <c r="A8" t="s">
        <v>10</v>
      </c>
      <c r="B8" t="s">
        <v>19</v>
      </c>
      <c r="C8">
        <v>2200</v>
      </c>
      <c r="D8">
        <v>2000</v>
      </c>
      <c r="E8" s="1" t="str">
        <f t="shared" si="0"/>
        <v>Exceeds Budget</v>
      </c>
      <c r="F8">
        <f t="shared" si="1"/>
        <v>200</v>
      </c>
    </row>
    <row r="9" spans="1:6" x14ac:dyDescent="0.25">
      <c r="A9" t="s">
        <v>10</v>
      </c>
      <c r="B9" t="s">
        <v>19</v>
      </c>
      <c r="C9">
        <v>1700</v>
      </c>
      <c r="D9">
        <v>1500</v>
      </c>
      <c r="E9" s="1" t="str">
        <f t="shared" si="0"/>
        <v>Exceeds Budget</v>
      </c>
      <c r="F9">
        <f t="shared" si="1"/>
        <v>200</v>
      </c>
    </row>
    <row r="10" spans="1:6" x14ac:dyDescent="0.25">
      <c r="A10" t="s">
        <v>9</v>
      </c>
      <c r="B10" t="s">
        <v>24</v>
      </c>
      <c r="C10">
        <v>3400</v>
      </c>
      <c r="D10">
        <v>3200</v>
      </c>
      <c r="E10" s="1" t="str">
        <f t="shared" si="0"/>
        <v>Exceeds Budget</v>
      </c>
      <c r="F10">
        <f t="shared" si="1"/>
        <v>200</v>
      </c>
    </row>
    <row r="11" spans="1:6" x14ac:dyDescent="0.25">
      <c r="A11" t="s">
        <v>13</v>
      </c>
      <c r="B11" t="s">
        <v>22</v>
      </c>
      <c r="C11">
        <v>2800</v>
      </c>
      <c r="D11">
        <v>2500</v>
      </c>
      <c r="E11" s="1" t="str">
        <f t="shared" si="0"/>
        <v>Exceeds Budget</v>
      </c>
      <c r="F11">
        <f t="shared" si="1"/>
        <v>300</v>
      </c>
    </row>
    <row r="12" spans="1:6" x14ac:dyDescent="0.25">
      <c r="A12" t="s">
        <v>5</v>
      </c>
      <c r="B12" t="s">
        <v>14</v>
      </c>
      <c r="C12">
        <v>2500</v>
      </c>
      <c r="D12">
        <v>2000</v>
      </c>
      <c r="E12" s="1" t="str">
        <f t="shared" si="0"/>
        <v>Exceeds Budget</v>
      </c>
      <c r="F12">
        <f t="shared" si="1"/>
        <v>500</v>
      </c>
    </row>
    <row r="13" spans="1:6" x14ac:dyDescent="0.25">
      <c r="A13" t="s">
        <v>8</v>
      </c>
      <c r="B13" t="s">
        <v>17</v>
      </c>
      <c r="C13">
        <v>4000</v>
      </c>
      <c r="D13">
        <v>3500</v>
      </c>
      <c r="E13" s="1" t="str">
        <f t="shared" si="0"/>
        <v>Exceeds Budget</v>
      </c>
      <c r="F13">
        <f t="shared" si="1"/>
        <v>500</v>
      </c>
    </row>
    <row r="14" spans="1:6" x14ac:dyDescent="0.25">
      <c r="A14" t="s">
        <v>12</v>
      </c>
      <c r="B14" t="s">
        <v>21</v>
      </c>
      <c r="C14">
        <v>3500</v>
      </c>
      <c r="D14">
        <v>3000</v>
      </c>
      <c r="E14" s="1" t="str">
        <f t="shared" si="0"/>
        <v>Exceeds Budget</v>
      </c>
      <c r="F14">
        <f t="shared" si="1"/>
        <v>500</v>
      </c>
    </row>
  </sheetData>
  <autoFilter ref="A1:F14">
    <sortState ref="A2:F14">
      <sortCondition ref="F1:F14"/>
    </sortState>
  </autoFilter>
  <conditionalFormatting sqref="E2:E14">
    <cfRule type="containsText" dxfId="16" priority="11" operator="containsText" text="On Track">
      <formula>NOT(ISERROR(SEARCH("On Track",E2)))</formula>
    </cfRule>
    <cfRule type="containsText" dxfId="15" priority="12" operator="containsText" text="Exceeds Budget">
      <formula>NOT(ISERROR(SEARCH("Exceeds Budget",E2)))</formula>
    </cfRule>
  </conditionalFormatting>
  <conditionalFormatting sqref="F1:F1048576">
    <cfRule type="cellIs" dxfId="14" priority="10" operator="lessThan">
      <formula>0</formula>
    </cfRule>
  </conditionalFormatting>
  <conditionalFormatting sqref="F2:F14">
    <cfRule type="cellIs" dxfId="13" priority="3" operator="lessThan">
      <formula>0</formula>
    </cfRule>
    <cfRule type="cellIs" dxfId="12" priority="7" operator="greaterThan">
      <formula>-100</formula>
    </cfRule>
    <cfRule type="cellIs" dxfId="11" priority="8" operator="lessThan">
      <formula>0</formula>
    </cfRule>
    <cfRule type="cellIs" dxfId="10" priority="9" operator="greaterThan">
      <formula>0</formula>
    </cfRule>
  </conditionalFormatting>
  <conditionalFormatting sqref="E17">
    <cfRule type="cellIs" dxfId="9" priority="2" operator="greaterThan">
      <formula>0</formula>
    </cfRule>
    <cfRule type="cellIs" dxfId="8" priority="6" operator="lessThan">
      <formula>0</formula>
    </cfRule>
  </conditionalFormatting>
  <conditionalFormatting sqref="F12">
    <cfRule type="cellIs" dxfId="7" priority="4" operator="lessThan">
      <formula>0</formula>
    </cfRule>
    <cfRule type="cellIs" dxfId="6" priority="5" operator="greaterThan">
      <formula>0</formula>
    </cfRule>
  </conditionalFormatting>
  <conditionalFormatting sqref="F10">
    <cfRule type="cellIs" dxfId="5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selection activeCell="U24" sqref="U24"/>
    </sheetView>
  </sheetViews>
  <sheetFormatPr defaultRowHeight="15" x14ac:dyDescent="0.25"/>
  <sheetData>
    <row r="1" spans="1:19" ht="46.5" x14ac:dyDescent="0.7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</sheetData>
  <mergeCells count="1">
    <mergeCell ref="A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9"/>
  <sheetViews>
    <sheetView workbookViewId="0">
      <selection activeCell="H8" sqref="H8"/>
    </sheetView>
  </sheetViews>
  <sheetFormatPr defaultRowHeight="15" x14ac:dyDescent="0.25"/>
  <cols>
    <col min="1" max="2" width="11.7109375" bestFit="1" customWidth="1"/>
    <col min="3" max="3" width="12.42578125" bestFit="1" customWidth="1"/>
  </cols>
  <sheetData>
    <row r="1" spans="1:4" s="1" customFormat="1" ht="30" x14ac:dyDescent="0.25">
      <c r="A1" s="1" t="s">
        <v>0</v>
      </c>
      <c r="B1" s="1" t="s">
        <v>28</v>
      </c>
      <c r="C1" s="3" t="s">
        <v>29</v>
      </c>
      <c r="D1" s="1" t="s">
        <v>38</v>
      </c>
    </row>
    <row r="2" spans="1:4" x14ac:dyDescent="0.25">
      <c r="A2" t="s">
        <v>8</v>
      </c>
      <c r="B2" t="s">
        <v>31</v>
      </c>
      <c r="C2" t="s">
        <v>31</v>
      </c>
      <c r="D2" t="s">
        <v>34</v>
      </c>
    </row>
    <row r="3" spans="1:4" x14ac:dyDescent="0.25">
      <c r="A3" t="s">
        <v>5</v>
      </c>
      <c r="B3" t="s">
        <v>31</v>
      </c>
      <c r="C3" t="s">
        <v>31</v>
      </c>
      <c r="D3" t="s">
        <v>34</v>
      </c>
    </row>
    <row r="4" spans="1:4" x14ac:dyDescent="0.25">
      <c r="A4" t="s">
        <v>12</v>
      </c>
      <c r="B4" t="s">
        <v>31</v>
      </c>
      <c r="C4" t="s">
        <v>31</v>
      </c>
      <c r="D4" t="s">
        <v>35</v>
      </c>
    </row>
    <row r="5" spans="1:4" hidden="1" x14ac:dyDescent="0.25">
      <c r="A5" t="s">
        <v>13</v>
      </c>
      <c r="B5" t="s">
        <v>31</v>
      </c>
      <c r="C5" t="s">
        <v>39</v>
      </c>
      <c r="D5" t="s">
        <v>35</v>
      </c>
    </row>
    <row r="6" spans="1:4" ht="45" x14ac:dyDescent="0.25">
      <c r="A6" t="s">
        <v>10</v>
      </c>
      <c r="B6" t="s">
        <v>31</v>
      </c>
      <c r="C6" s="2" t="s">
        <v>36</v>
      </c>
      <c r="D6" t="s">
        <v>35</v>
      </c>
    </row>
    <row r="7" spans="1:4" x14ac:dyDescent="0.25">
      <c r="A7" t="s">
        <v>6</v>
      </c>
      <c r="B7" t="s">
        <v>32</v>
      </c>
      <c r="C7" t="s">
        <v>37</v>
      </c>
      <c r="D7" t="s">
        <v>37</v>
      </c>
    </row>
    <row r="8" spans="1:4" ht="30" x14ac:dyDescent="0.25">
      <c r="A8" s="2" t="s">
        <v>11</v>
      </c>
      <c r="B8" t="s">
        <v>33</v>
      </c>
      <c r="C8" t="s">
        <v>40</v>
      </c>
      <c r="D8" t="s">
        <v>35</v>
      </c>
    </row>
    <row r="9" spans="1:4" x14ac:dyDescent="0.25">
      <c r="A9" t="s">
        <v>30</v>
      </c>
      <c r="B9" t="s">
        <v>32</v>
      </c>
      <c r="C9" t="s">
        <v>37</v>
      </c>
      <c r="D9" t="s">
        <v>37</v>
      </c>
    </row>
  </sheetData>
  <autoFilter ref="A1:D9">
    <filterColumn colId="0">
      <filters>
        <filter val="Customer _x000a_Success"/>
        <filter val="Finace"/>
        <filter val="HR"/>
        <filter val="Legal"/>
        <filter val="Marketing"/>
        <filter val="Operations"/>
        <filter val="Sales"/>
      </filters>
    </filterColumn>
  </autoFilter>
  <conditionalFormatting sqref="D2:D9">
    <cfRule type="containsText" dxfId="4" priority="5" operator="containsText" text="High">
      <formula>NOT(ISERROR(SEARCH("High",D2)))</formula>
    </cfRule>
    <cfRule type="containsText" dxfId="3" priority="4" operator="containsText" text="none">
      <formula>NOT(ISERROR(SEARCH("none",D2)))</formula>
    </cfRule>
    <cfRule type="containsText" dxfId="2" priority="1" operator="containsText" text="Medium">
      <formula>NOT(ISERROR(SEARCH("Medium",D2)))</formula>
    </cfRule>
  </conditionalFormatting>
  <conditionalFormatting sqref="E6">
    <cfRule type="containsText" dxfId="1" priority="3" operator="containsText" text="Medium">
      <formula>NOT(ISERROR(SEARCH("Medium",E6)))</formula>
    </cfRule>
    <cfRule type="containsText" dxfId="0" priority="2" operator="containsText" text="Medium">
      <formula>NOT(ISERROR(SEARCH("Medium",E6)))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Expense Dashboard</vt:lpstr>
      <vt:lpstr>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</dc:creator>
  <cp:lastModifiedBy>Wendy</cp:lastModifiedBy>
  <dcterms:created xsi:type="dcterms:W3CDTF">2026-10-15T14:07:58Z</dcterms:created>
  <dcterms:modified xsi:type="dcterms:W3CDTF">2026-10-27T20:06:11Z</dcterms:modified>
</cp:coreProperties>
</file>